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wombat_instrument_work\scattering_plane_software\siobhan_scattering_plane\"/>
    </mc:Choice>
  </mc:AlternateContent>
  <xr:revisionPtr revIDLastSave="0" documentId="13_ncr:1_{F6CCAA55-4A50-4708-BFB3-DD932F4995C9}" xr6:coauthVersionLast="47" xr6:coauthVersionMax="47" xr10:uidLastSave="{00000000-0000-0000-0000-000000000000}"/>
  <bookViews>
    <workbookView xWindow="2145" yWindow="3465" windowWidth="21600" windowHeight="11295" xr2:uid="{D384836F-CCEB-43D8-9424-413C5137B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3" i="1"/>
  <c r="J4" i="1"/>
  <c r="J5" i="1"/>
  <c r="J6" i="1"/>
  <c r="J7" i="1"/>
  <c r="J2" i="1"/>
  <c r="H3" i="1"/>
  <c r="H4" i="1"/>
  <c r="H5" i="1"/>
  <c r="H6" i="1"/>
  <c r="H7" i="1"/>
  <c r="H2" i="1"/>
  <c r="G7" i="1"/>
  <c r="F8" i="1"/>
  <c r="G3" i="1"/>
  <c r="G4" i="1"/>
  <c r="G5" i="1"/>
  <c r="G6" i="1"/>
  <c r="G2" i="1"/>
  <c r="F7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<sst xmlns="http://schemas.openxmlformats.org/spreadsheetml/2006/main" count="11" uniqueCount="11">
  <si>
    <t>h</t>
  </si>
  <si>
    <t>k</t>
  </si>
  <si>
    <t>l</t>
  </si>
  <si>
    <t>phi</t>
  </si>
  <si>
    <t>2theta</t>
  </si>
  <si>
    <t>psi</t>
  </si>
  <si>
    <t>dpsi</t>
  </si>
  <si>
    <t>dphi</t>
  </si>
  <si>
    <t>dangle</t>
  </si>
  <si>
    <t>dpsi+dphi</t>
  </si>
  <si>
    <t>new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</si>
</sst>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C11A-858B-4597-A58A-BFA5C81AF217}">
  <dimension ref="A1:L8"/>
  <sheetViews>
    <sheetView tabSelected="1" workbookViewId="0">
      <selection activeCell="L7" sqref="L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>
        <v>0</v>
      </c>
      <c r="B2">
        <v>0</v>
      </c>
      <c r="C2">
        <v>2</v>
      </c>
      <c r="D2">
        <v>80.2</v>
      </c>
      <c r="E2">
        <v>31</v>
      </c>
      <c r="F2">
        <f>(180-E2)/2+E2</f>
        <v>105.5</v>
      </c>
      <c r="G2">
        <f>F3-F2</f>
        <v>29.585000000000008</v>
      </c>
      <c r="H2">
        <f>D2-D3</f>
        <v>15.299999999999997</v>
      </c>
      <c r="I2">
        <v>44.8</v>
      </c>
      <c r="J2">
        <f>G2+H2</f>
        <v>44.885000000000005</v>
      </c>
      <c r="K2">
        <f>I2-(F3-F2)-D2</f>
        <v>-64.985000000000014</v>
      </c>
      <c r="L2">
        <f>-I2+0.5*(E3-E2)+D2</f>
        <v>64.985000000000014</v>
      </c>
    </row>
    <row r="3" spans="1:12" x14ac:dyDescent="0.25">
      <c r="A3">
        <v>-6</v>
      </c>
      <c r="B3">
        <v>0</v>
      </c>
      <c r="C3">
        <v>6</v>
      </c>
      <c r="D3">
        <v>64.900000000000006</v>
      </c>
      <c r="E3">
        <v>90.17</v>
      </c>
      <c r="F3">
        <f t="shared" ref="F3:F8" si="0">(180-E3)/2+E3</f>
        <v>135.08500000000001</v>
      </c>
      <c r="G3">
        <f t="shared" ref="G3:G7" si="1">F4-F3</f>
        <v>-17.205000000000013</v>
      </c>
      <c r="H3">
        <f t="shared" ref="H3:H8" si="2">D3-D4</f>
        <v>-6.8999999999999915</v>
      </c>
      <c r="I3">
        <v>24.1</v>
      </c>
      <c r="J3">
        <f t="shared" ref="J3:J7" si="3">G3+H3</f>
        <v>-24.105000000000004</v>
      </c>
    </row>
    <row r="4" spans="1:12" x14ac:dyDescent="0.25">
      <c r="A4">
        <v>-2</v>
      </c>
      <c r="B4">
        <v>0</v>
      </c>
      <c r="C4">
        <v>4</v>
      </c>
      <c r="D4">
        <v>71.8</v>
      </c>
      <c r="E4">
        <v>55.76</v>
      </c>
      <c r="F4">
        <f t="shared" si="0"/>
        <v>117.88</v>
      </c>
      <c r="G4">
        <f t="shared" si="1"/>
        <v>15.925000000000011</v>
      </c>
      <c r="H4">
        <f t="shared" si="2"/>
        <v>-8</v>
      </c>
      <c r="I4">
        <v>8.0120000000000005</v>
      </c>
      <c r="J4">
        <f t="shared" si="3"/>
        <v>7.9250000000000114</v>
      </c>
    </row>
    <row r="5" spans="1:12" x14ac:dyDescent="0.25">
      <c r="A5">
        <v>-4</v>
      </c>
      <c r="B5">
        <v>0</v>
      </c>
      <c r="C5">
        <v>6</v>
      </c>
      <c r="D5">
        <v>79.8</v>
      </c>
      <c r="E5">
        <v>87.61</v>
      </c>
      <c r="F5">
        <f t="shared" si="0"/>
        <v>133.80500000000001</v>
      </c>
      <c r="G5">
        <f t="shared" si="1"/>
        <v>-10.810000000000002</v>
      </c>
      <c r="H5">
        <f t="shared" si="2"/>
        <v>-17.799999999999997</v>
      </c>
      <c r="I5">
        <v>28.77</v>
      </c>
      <c r="J5">
        <f t="shared" si="3"/>
        <v>-28.61</v>
      </c>
    </row>
    <row r="6" spans="1:12" x14ac:dyDescent="0.25">
      <c r="A6">
        <v>0</v>
      </c>
      <c r="B6">
        <v>0</v>
      </c>
      <c r="C6">
        <v>4</v>
      </c>
      <c r="D6">
        <v>97.6</v>
      </c>
      <c r="E6">
        <v>65.989999999999995</v>
      </c>
      <c r="F6">
        <f t="shared" si="0"/>
        <v>122.995</v>
      </c>
      <c r="G6">
        <f t="shared" si="1"/>
        <v>-22.049999999999997</v>
      </c>
      <c r="H6">
        <f t="shared" si="2"/>
        <v>-35.900000000000006</v>
      </c>
      <c r="I6">
        <v>57.8</v>
      </c>
      <c r="J6">
        <f t="shared" si="3"/>
        <v>-57.95</v>
      </c>
    </row>
    <row r="7" spans="1:12" x14ac:dyDescent="0.25">
      <c r="A7">
        <v>2</v>
      </c>
      <c r="B7">
        <v>0</v>
      </c>
      <c r="C7">
        <v>0</v>
      </c>
      <c r="D7">
        <v>133.5</v>
      </c>
      <c r="E7">
        <v>21.89</v>
      </c>
      <c r="F7">
        <f t="shared" si="0"/>
        <v>100.94500000000001</v>
      </c>
      <c r="G7">
        <f t="shared" si="1"/>
        <v>4.5549999999999926</v>
      </c>
      <c r="H7">
        <f t="shared" si="2"/>
        <v>53.3</v>
      </c>
      <c r="I7">
        <v>57.8</v>
      </c>
      <c r="J7">
        <f t="shared" si="3"/>
        <v>57.85499999999999</v>
      </c>
    </row>
    <row r="8" spans="1:12" x14ac:dyDescent="0.25">
      <c r="A8">
        <v>0</v>
      </c>
      <c r="B8">
        <v>0</v>
      </c>
      <c r="C8">
        <v>2</v>
      </c>
      <c r="D8">
        <v>80.2</v>
      </c>
      <c r="E8">
        <v>31</v>
      </c>
      <c r="F8">
        <f t="shared" si="0"/>
        <v>105.5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TOBIN, Siobhan</dc:creator>
  <cp:lastModifiedBy>TOBIN, Siobhan</cp:lastModifiedBy>
  <dcterms:created xsi:type="dcterms:W3CDTF">2025-10-29T05:52:53Z</dcterms:created>
  <dcterms:modified xsi:type="dcterms:W3CDTF">2025-10-29T07:12:02Z</dcterms:modified>
</cp:coreProperties>
</file>