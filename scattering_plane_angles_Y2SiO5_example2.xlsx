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wombat_instrument_work\scattering_plane_software\siobhan_scattering_plane\"/>
    </mc:Choice>
  </mc:AlternateContent>
  <xr:revisionPtr revIDLastSave="0" documentId="13_ncr:1_{8C06A7BF-EDA4-4E0E-A8FD-81A9FF014B46}" xr6:coauthVersionLast="47" xr6:coauthVersionMax="47" xr10:uidLastSave="{00000000-0000-0000-0000-000000000000}"/>
  <bookViews>
    <workbookView xWindow="-120" yWindow="-120" windowWidth="29040" windowHeight="15720" xr2:uid="{D384836F-CCEB-43D8-9424-413C5137B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3" i="1"/>
  <c r="H11" i="1"/>
  <c r="H6" i="1"/>
  <c r="H5" i="1"/>
  <c r="F3" i="1"/>
  <c r="F4" i="1"/>
  <c r="H4" i="1" s="1"/>
  <c r="F5" i="1"/>
  <c r="F6" i="1"/>
  <c r="F7" i="1"/>
  <c r="H7" i="1" s="1"/>
  <c r="F8" i="1"/>
  <c r="F9" i="1"/>
  <c r="F10" i="1"/>
  <c r="F11" i="1"/>
  <c r="H8" i="1"/>
  <c r="H9" i="1"/>
  <c r="F2" i="1"/>
  <c r="H2" i="1" s="1"/>
  <c r="I3" i="1"/>
  <c r="I4" i="1"/>
  <c r="I5" i="1"/>
  <c r="I6" i="1"/>
  <c r="I7" i="1"/>
  <c r="I8" i="1"/>
  <c r="I9" i="1"/>
  <c r="I10" i="1"/>
  <c r="I11" i="1"/>
  <c r="I12" i="1"/>
  <c r="I2" i="1"/>
</calcChain>
</file>

<file path=xl/sharedStrings.xml><?xml version="1.0" encoding="utf-8"?>
<sst xmlns="http://schemas.openxmlformats.org/spreadsheetml/2006/main" count="9" uniqueCount="9">
  <si>
    <t>h</t>
  </si>
  <si>
    <t>k</t>
  </si>
  <si>
    <t>l</t>
  </si>
  <si>
    <t>phi</t>
  </si>
  <si>
    <t>2theta</t>
  </si>
  <si>
    <t>new omega</t>
  </si>
  <si>
    <t>angle_between_Q</t>
  </si>
  <si>
    <t>2theta_diff</t>
  </si>
  <si>
    <t>actual new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</si>
</sst>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C11A-858B-4597-A58A-BFA5C81AF217}">
  <dimension ref="A1:I12"/>
  <sheetViews>
    <sheetView tabSelected="1" workbookViewId="0">
      <selection activeCell="K12" sqref="K12"/>
    </sheetView>
  </sheetViews>
  <sheetFormatPr defaultRowHeight="15" x14ac:dyDescent="0.25"/>
  <cols>
    <col min="6" max="6" width="15.140625" customWidth="1"/>
    <col min="7" max="7" width="16" customWidth="1"/>
    <col min="8" max="8" width="14.7109375" customWidth="1"/>
    <col min="9" max="9" width="1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6</v>
      </c>
      <c r="H1" t="s">
        <v>5</v>
      </c>
      <c r="I1" t="s">
        <v>8</v>
      </c>
    </row>
    <row r="2" spans="1:9" x14ac:dyDescent="0.25">
      <c r="A2" s="1">
        <v>0</v>
      </c>
      <c r="B2" s="1">
        <v>0</v>
      </c>
      <c r="C2" s="1">
        <v>2</v>
      </c>
      <c r="D2" s="1">
        <v>80.2</v>
      </c>
      <c r="E2" s="1">
        <v>31</v>
      </c>
      <c r="F2" s="1">
        <f>(E3-E2)</f>
        <v>59.17</v>
      </c>
      <c r="G2" s="1">
        <v>44.8</v>
      </c>
      <c r="H2" s="1">
        <f>-G2+0.5*F2+D2</f>
        <v>64.985000000000014</v>
      </c>
      <c r="I2" s="1">
        <f>D3</f>
        <v>64.900000000000006</v>
      </c>
    </row>
    <row r="3" spans="1:9" x14ac:dyDescent="0.25">
      <c r="A3">
        <v>-6</v>
      </c>
      <c r="B3">
        <v>0</v>
      </c>
      <c r="C3">
        <v>6</v>
      </c>
      <c r="D3">
        <v>64.900000000000006</v>
      </c>
      <c r="E3">
        <v>90.17</v>
      </c>
      <c r="F3">
        <f t="shared" ref="F3:F11" si="0">(E4-E3)</f>
        <v>-34.410000000000004</v>
      </c>
      <c r="G3">
        <v>24.1</v>
      </c>
      <c r="H3">
        <f>+G3+0.5*F3+D3</f>
        <v>71.795000000000002</v>
      </c>
      <c r="I3">
        <f t="shared" ref="I3:I12" si="1">D4</f>
        <v>71.8</v>
      </c>
    </row>
    <row r="4" spans="1:9" x14ac:dyDescent="0.25">
      <c r="A4" s="1">
        <v>-2</v>
      </c>
      <c r="B4" s="1">
        <v>0</v>
      </c>
      <c r="C4" s="1">
        <v>4</v>
      </c>
      <c r="D4" s="1">
        <v>71.8</v>
      </c>
      <c r="E4" s="1">
        <v>55.76</v>
      </c>
      <c r="F4" s="1">
        <f t="shared" si="0"/>
        <v>31.85</v>
      </c>
      <c r="G4" s="1">
        <v>8.0120000000000005</v>
      </c>
      <c r="H4" s="1">
        <f>-G4+0.5*F4+D4</f>
        <v>79.712999999999994</v>
      </c>
      <c r="I4" s="1">
        <f t="shared" si="1"/>
        <v>79.8</v>
      </c>
    </row>
    <row r="5" spans="1:9" x14ac:dyDescent="0.25">
      <c r="A5">
        <v>-4</v>
      </c>
      <c r="B5">
        <v>0</v>
      </c>
      <c r="C5">
        <v>6</v>
      </c>
      <c r="D5">
        <v>79.8</v>
      </c>
      <c r="E5">
        <v>87.61</v>
      </c>
      <c r="F5">
        <f t="shared" si="0"/>
        <v>-21.620000000000005</v>
      </c>
      <c r="G5">
        <v>28.77</v>
      </c>
      <c r="H5">
        <f>+G5+0.5*F5+D5</f>
        <v>97.759999999999991</v>
      </c>
      <c r="I5">
        <f t="shared" si="1"/>
        <v>97.6</v>
      </c>
    </row>
    <row r="6" spans="1:9" s="2" customFormat="1" x14ac:dyDescent="0.25">
      <c r="A6" s="2">
        <v>0</v>
      </c>
      <c r="B6" s="2">
        <v>0</v>
      </c>
      <c r="C6" s="2">
        <v>4</v>
      </c>
      <c r="D6" s="2">
        <v>97.6</v>
      </c>
      <c r="E6" s="2">
        <v>65.989999999999995</v>
      </c>
      <c r="F6" s="2">
        <f t="shared" si="0"/>
        <v>-44.099999999999994</v>
      </c>
      <c r="G6" s="2">
        <v>57.8</v>
      </c>
      <c r="H6">
        <f>+G6+0.5*F6+D6</f>
        <v>133.35</v>
      </c>
      <c r="I6" s="2">
        <f t="shared" si="1"/>
        <v>133.5</v>
      </c>
    </row>
    <row r="7" spans="1:9" x14ac:dyDescent="0.25">
      <c r="A7" s="1">
        <v>2</v>
      </c>
      <c r="B7" s="1">
        <v>0</v>
      </c>
      <c r="C7" s="1">
        <v>0</v>
      </c>
      <c r="D7" s="1">
        <v>133.5</v>
      </c>
      <c r="E7" s="1">
        <v>21.89</v>
      </c>
      <c r="F7" s="1">
        <f t="shared" si="0"/>
        <v>9.11</v>
      </c>
      <c r="G7" s="1">
        <v>57.8</v>
      </c>
      <c r="H7" s="1">
        <f>-G7+0.5*F7+D7</f>
        <v>80.254999999999995</v>
      </c>
      <c r="I7" s="1">
        <f t="shared" si="1"/>
        <v>80.2</v>
      </c>
    </row>
    <row r="8" spans="1:9" x14ac:dyDescent="0.25">
      <c r="A8" s="1">
        <v>0</v>
      </c>
      <c r="B8" s="1">
        <v>0</v>
      </c>
      <c r="C8" s="1">
        <v>2</v>
      </c>
      <c r="D8" s="1">
        <v>80.2</v>
      </c>
      <c r="E8" s="1">
        <v>31</v>
      </c>
      <c r="F8" s="1">
        <f t="shared" si="0"/>
        <v>54.91</v>
      </c>
      <c r="G8" s="1">
        <v>102.47</v>
      </c>
      <c r="H8" s="1">
        <f>-G8+0.5*F8+D8</f>
        <v>5.1850000000000023</v>
      </c>
      <c r="I8" s="1">
        <f t="shared" si="1"/>
        <v>5.2</v>
      </c>
    </row>
    <row r="9" spans="1:9" x14ac:dyDescent="0.25">
      <c r="A9" s="1">
        <v>-8</v>
      </c>
      <c r="B9" s="1">
        <v>0</v>
      </c>
      <c r="C9" s="1">
        <v>2</v>
      </c>
      <c r="D9" s="1">
        <v>5.2</v>
      </c>
      <c r="E9" s="1">
        <v>85.91</v>
      </c>
      <c r="F9" s="1">
        <f t="shared" si="0"/>
        <v>35.650000000000006</v>
      </c>
      <c r="G9" s="1">
        <v>4.3780000000000001</v>
      </c>
      <c r="H9" s="1">
        <f>-G9+0.5*F9+D9</f>
        <v>18.647000000000002</v>
      </c>
      <c r="I9" s="1">
        <f t="shared" si="1"/>
        <v>18.5</v>
      </c>
    </row>
    <row r="10" spans="1:9" x14ac:dyDescent="0.25">
      <c r="A10">
        <v>-10</v>
      </c>
      <c r="B10">
        <v>0</v>
      </c>
      <c r="C10">
        <v>2</v>
      </c>
      <c r="D10">
        <v>18.5</v>
      </c>
      <c r="E10">
        <v>121.56</v>
      </c>
      <c r="F10">
        <f t="shared" si="0"/>
        <v>-93.56</v>
      </c>
      <c r="G10">
        <v>27.456</v>
      </c>
      <c r="H10">
        <f>+G10+0.5*F10-D10</f>
        <v>-37.823999999999998</v>
      </c>
      <c r="I10">
        <f t="shared" si="1"/>
        <v>85.2</v>
      </c>
    </row>
    <row r="11" spans="1:9" x14ac:dyDescent="0.25">
      <c r="A11">
        <v>-8</v>
      </c>
      <c r="B11">
        <v>0</v>
      </c>
      <c r="C11">
        <v>4</v>
      </c>
      <c r="D11">
        <v>85.2</v>
      </c>
      <c r="E11">
        <v>28</v>
      </c>
      <c r="F11">
        <f t="shared" si="0"/>
        <v>19.899999999999999</v>
      </c>
      <c r="G11">
        <v>34.511000000000003</v>
      </c>
      <c r="H11">
        <f>-G11+0.5*F11+D11</f>
        <v>60.638999999999996</v>
      </c>
      <c r="I11">
        <f t="shared" si="1"/>
        <v>56.06</v>
      </c>
    </row>
    <row r="12" spans="1:9" x14ac:dyDescent="0.25">
      <c r="A12">
        <v>-4</v>
      </c>
      <c r="B12">
        <v>0</v>
      </c>
      <c r="C12">
        <v>4</v>
      </c>
      <c r="D12">
        <v>56.06</v>
      </c>
      <c r="E12">
        <v>47.9</v>
      </c>
      <c r="I12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TOBIN, Siobhan</dc:creator>
  <cp:lastModifiedBy>TOBIN, Siobhan</cp:lastModifiedBy>
  <dcterms:created xsi:type="dcterms:W3CDTF">2025-10-29T05:52:53Z</dcterms:created>
  <dcterms:modified xsi:type="dcterms:W3CDTF">2026-01-16T05:29:51Z</dcterms:modified>
</cp:coreProperties>
</file>